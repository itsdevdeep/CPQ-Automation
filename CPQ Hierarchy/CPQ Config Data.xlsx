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dg15\Documents\UiPath\CPQ Automation\CPQ Hierarchy\"/>
    </mc:Choice>
  </mc:AlternateContent>
  <xr:revisionPtr revIDLastSave="0" documentId="13_ncr:1_{6D2B5C10-FBFE-4757-A58E-937F0D27EA77}" xr6:coauthVersionLast="47" xr6:coauthVersionMax="47" xr10:uidLastSave="{00000000-0000-0000-0000-000000000000}"/>
  <bookViews>
    <workbookView xWindow="-120" yWindow="-120" windowWidth="29040" windowHeight="15720" activeTab="1" xr2:uid="{E17458DB-A6ED-49B0-B8DE-A9086FBB9952}"/>
  </bookViews>
  <sheets>
    <sheet name="ConfigData" sheetId="1" r:id="rId1"/>
    <sheet name="Sheet1" sheetId="5" r:id="rId2"/>
    <sheet name="Sheet2" sheetId="6" r:id="rId3"/>
    <sheet name="Email Templat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L5" i="1"/>
  <c r="L4" i="1"/>
  <c r="L3" i="1"/>
  <c r="L2" i="1"/>
  <c r="M2" i="1" s="1"/>
</calcChain>
</file>

<file path=xl/sharedStrings.xml><?xml version="1.0" encoding="utf-8"?>
<sst xmlns="http://schemas.openxmlformats.org/spreadsheetml/2006/main" count="252" uniqueCount="135">
  <si>
    <t>Model</t>
  </si>
  <si>
    <t>Prod Family</t>
  </si>
  <si>
    <t>Prod Line</t>
  </si>
  <si>
    <t>Cars</t>
  </si>
  <si>
    <t>Hatchback</t>
  </si>
  <si>
    <t>Alto</t>
  </si>
  <si>
    <t>Altroz</t>
  </si>
  <si>
    <t>Sedan</t>
  </si>
  <si>
    <t>Ciaz</t>
  </si>
  <si>
    <t>Planes</t>
  </si>
  <si>
    <t>Emirates</t>
  </si>
  <si>
    <t>Airbus</t>
  </si>
  <si>
    <t>Prod Family Var Name</t>
  </si>
  <si>
    <t>cars</t>
  </si>
  <si>
    <t>planes</t>
  </si>
  <si>
    <t>Prod Line Var Name</t>
  </si>
  <si>
    <t>hatchback</t>
  </si>
  <si>
    <t>sedan</t>
  </si>
  <si>
    <t>emirates</t>
  </si>
  <si>
    <t>Model Var Name</t>
  </si>
  <si>
    <t>alto</t>
  </si>
  <si>
    <t>altroz</t>
  </si>
  <si>
    <t>ciaz</t>
  </si>
  <si>
    <t>airbus</t>
  </si>
  <si>
    <t>Line Level Attributes</t>
  </si>
  <si>
    <t>Model Level Attributes</t>
  </si>
  <si>
    <t>Product family Attributes</t>
  </si>
  <si>
    <t>REST CALL 1</t>
  </si>
  <si>
    <t>REST CALL 2</t>
  </si>
  <si>
    <t xml:space="preserve">              </t>
  </si>
  <si>
    <t>Config Flow Rule Name</t>
  </si>
  <si>
    <t>Flow for Alto</t>
  </si>
  <si>
    <t>Flow for Altroz</t>
  </si>
  <si>
    <t>Flow for Ciaz</t>
  </si>
  <si>
    <t>Flow for Airbus</t>
  </si>
  <si>
    <t>Config Flow Rule Var Name</t>
  </si>
  <si>
    <t>altoFlow</t>
  </si>
  <si>
    <t>altrozFlow</t>
  </si>
  <si>
    <t>ciazFlow</t>
  </si>
  <si>
    <t>airbusFlow</t>
  </si>
  <si>
    <t>Title</t>
  </si>
  <si>
    <t>Details</t>
  </si>
  <si>
    <t>To</t>
  </si>
  <si>
    <t>Subject</t>
  </si>
  <si>
    <t>Body</t>
  </si>
  <si>
    <t>CPQ Automation: UiPath Logs</t>
  </si>
  <si>
    <t>Hello User,
This email indicates that the CPQ Automation bot was executed from UiPath Studio.
Attached below is the log file containing records of the events that were triggered in Oracle CPQ.
Thanks.</t>
  </si>
  <si>
    <t>devdeepdasguptabc391@gmail.com</t>
  </si>
  <si>
    <t>aDASFeatures</t>
  </si>
  <si>
    <t>carModel,airCondition</t>
  </si>
  <si>
    <t>infotainment</t>
  </si>
  <si>
    <t>typeOfAirline</t>
  </si>
  <si>
    <t>accessories</t>
  </si>
  <si>
    <t>manufactureYear,carColour</t>
  </si>
  <si>
    <t>radio,tyreSize</t>
  </si>
  <si>
    <t>dateOfDeparture,numberOfSeats</t>
  </si>
  <si>
    <t>manufactureYear1</t>
  </si>
  <si>
    <t>Configuration Attributes</t>
  </si>
  <si>
    <t>update</t>
  </si>
  <si>
    <t>ref_var_name</t>
  </si>
  <si>
    <t>ref_type</t>
  </si>
  <si>
    <t>ref_category</t>
  </si>
  <si>
    <t>config_category</t>
  </si>
  <si>
    <t>name: en</t>
  </si>
  <si>
    <t>variable_name</t>
  </si>
  <si>
    <t>menu_type</t>
  </si>
  <si>
    <t>data_type</t>
  </si>
  <si>
    <t>display_type</t>
  </si>
  <si>
    <t>order_number</t>
  </si>
  <si>
    <t>pricing_type</t>
  </si>
  <si>
    <t>pricing_display_type</t>
  </si>
  <si>
    <t>menu_display_text: en</t>
  </si>
  <si>
    <t>menu_variable_name</t>
  </si>
  <si>
    <t>add</t>
  </si>
  <si>
    <t>allEquipment:cars</t>
  </si>
  <si>
    <t>Product Family</t>
  </si>
  <si>
    <t>Configurable Attributes</t>
  </si>
  <si>
    <t>Manufacture Year</t>
  </si>
  <si>
    <t>manufactureYear</t>
  </si>
  <si>
    <t>Text</t>
  </si>
  <si>
    <t>None</t>
  </si>
  <si>
    <t>Car Colour</t>
  </si>
  <si>
    <t>carColour</t>
  </si>
  <si>
    <t>Single Select Menu</t>
  </si>
  <si>
    <t>Black~White~Silver~Blue~Green~Yellow</t>
  </si>
  <si>
    <t>allEquipment:cars:hatchback</t>
  </si>
  <si>
    <t>Product Line</t>
  </si>
  <si>
    <t>Radio</t>
  </si>
  <si>
    <t>radio</t>
  </si>
  <si>
    <t>Boolean</t>
  </si>
  <si>
    <t>Boolean Checkbox</t>
  </si>
  <si>
    <t>Tyre Size</t>
  </si>
  <si>
    <t>tyreSize</t>
  </si>
  <si>
    <t>Integer</t>
  </si>
  <si>
    <t>allEquipment:cars:sedan</t>
  </si>
  <si>
    <t>ADAS Features</t>
  </si>
  <si>
    <t>Multi Select Menu</t>
  </si>
  <si>
    <t>ABS~EBD~Collision Warning~Lane Depart</t>
  </si>
  <si>
    <t>allEquipment:planes:emirates</t>
  </si>
  <si>
    <t>Type of Airline</t>
  </si>
  <si>
    <t>Domestic~International</t>
  </si>
  <si>
    <t>allEquipment:cars:hatchback:alto</t>
  </si>
  <si>
    <t>Car Model</t>
  </si>
  <si>
    <t>carModel</t>
  </si>
  <si>
    <t>LXI~VXI</t>
  </si>
  <si>
    <t>AC</t>
  </si>
  <si>
    <t>airCondition</t>
  </si>
  <si>
    <t>allEquipment:cars:hatchback:altroz</t>
  </si>
  <si>
    <t>Infotainment</t>
  </si>
  <si>
    <t>allEquipment:cars:sedan:ciaz</t>
  </si>
  <si>
    <t>Accessories</t>
  </si>
  <si>
    <t>Spoiler~Extended Warranty~Sunroof</t>
  </si>
  <si>
    <t>allEquipment:planes:emirates:airbus</t>
  </si>
  <si>
    <t>Date of Departure</t>
  </si>
  <si>
    <t>dateOfDeparture</t>
  </si>
  <si>
    <t>Date</t>
  </si>
  <si>
    <t>Number of Seats</t>
  </si>
  <si>
    <t>numberOfSeats</t>
  </si>
  <si>
    <t>Manufacture Year,Car Colour</t>
  </si>
  <si>
    <t>PF Attribute Type</t>
  </si>
  <si>
    <t>PF Attributes</t>
  </si>
  <si>
    <t>PF Attribute Values</t>
  </si>
  <si>
    <t>Line Attributes</t>
  </si>
  <si>
    <t>Line Attribute Type</t>
  </si>
  <si>
    <t>Line Attribute Values</t>
  </si>
  <si>
    <t>Model Attributes</t>
  </si>
  <si>
    <t>Model Attribute Type</t>
  </si>
  <si>
    <t>Model Attribute Values</t>
  </si>
  <si>
    <t>Text,Single Select Menu</t>
  </si>
  <si>
    <t>,Black~White~Silver~Blue~Green~Yellow</t>
  </si>
  <si>
    <t>Radio, Tyre Size</t>
  </si>
  <si>
    <t>Boolean,Integer</t>
  </si>
  <si>
    <t>Car Model,AC</t>
  </si>
  <si>
    <t>Single Select Menu,Boolean</t>
  </si>
  <si>
    <t>LXI~VXI,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</si>
</sst>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22"/>
      <color theme="1"/>
      <name val="Calibri"/>
      <family val="2"/>
      <scheme val="minor"/>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0" fillId="0" borderId="1" xfId="0" applyBorder="1" applyAlignment="1">
      <alignment horizontal="center" vertical="center"/>
    </xf>
    <xf numFmtId="0" fontId="1" fillId="0" borderId="0" xfId="1"/>
    <xf numFmtId="0" fontId="0" fillId="0" borderId="0" xfId="0" applyAlignment="1">
      <alignment wrapText="1"/>
    </xf>
    <xf numFmtId="0" fontId="2" fillId="0" borderId="0" xfId="0" applyFont="1"/>
    <xf numFmtId="0" fontId="0" fillId="0" borderId="0" xfId="0" applyBorder="1" applyAlignment="1">
      <alignment horizontal="center" vertical="center"/>
    </xf>
    <xf numFmtId="0" fontId="0" fillId="0" borderId="0" xfId="0" applyFill="1" applyBorder="1"/>
    <xf numFmtId="0" fontId="0" fillId="0" borderId="1" xfId="0" applyFill="1" applyBorder="1"/>
    <xf numFmtId="0" fontId="0" fillId="0" borderId="1" xfId="0" applyBorder="1" applyAlignment="1">
      <alignment horizontal="center"/>
    </xf>
    <xf numFmtId="0" fontId="3" fillId="0" borderId="0" xfId="0" applyFont="1" applyAlignment="1">
      <alignment horizontal="center"/>
    </xf>
    <xf numFmtId="0" fontId="4" fillId="0" borderId="1" xfId="0" applyFont="1" applyBorder="1" applyAlignment="1">
      <alignment horizontal="center" vertical="center"/>
    </xf>
    <xf numFmtId="0" fontId="4" fillId="0" borderId="1" xfId="0" applyFont="1" applyFill="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evdeepdasguptabc39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A1A6F-DA12-4E28-A474-2AB607C74686}">
  <dimension ref="A1:M26"/>
  <sheetViews>
    <sheetView workbookViewId="0">
      <selection sqref="A1:I5"/>
    </sheetView>
  </sheetViews>
  <sheetFormatPr defaultRowHeight="15" x14ac:dyDescent="0.25"/>
  <cols>
    <col min="1" max="1" width="33.42578125" style="5" bestFit="1" customWidth="1"/>
    <col min="2" max="2" width="20.85546875" style="5" bestFit="1" customWidth="1"/>
    <col min="3" max="3" width="16.7109375" style="5" bestFit="1" customWidth="1"/>
    <col min="4" max="4" width="18.7109375" style="5" customWidth="1"/>
    <col min="5" max="5" width="6.7109375" style="5" bestFit="1" customWidth="1"/>
    <col min="6" max="6" width="16" style="5" bestFit="1" customWidth="1"/>
    <col min="7" max="7" width="25.7109375" style="5" bestFit="1" customWidth="1"/>
    <col min="8" max="8" width="19.5703125" style="5" bestFit="1" customWidth="1"/>
    <col min="9" max="9" width="31.28515625" style="5" bestFit="1" customWidth="1"/>
    <col min="10" max="10" width="22" style="5" bestFit="1" customWidth="1"/>
    <col min="11" max="11" width="25.5703125" style="5" bestFit="1" customWidth="1"/>
    <col min="12" max="12" width="106" style="5" bestFit="1" customWidth="1"/>
    <col min="13" max="13" width="140.85546875" style="5" bestFit="1" customWidth="1"/>
    <col min="14" max="14" width="117.140625" style="5" bestFit="1" customWidth="1"/>
    <col min="15" max="16384" width="9.140625" style="5"/>
  </cols>
  <sheetData>
    <row r="1" spans="1:13" s="10" customFormat="1" x14ac:dyDescent="0.25">
      <c r="A1" s="10" t="s">
        <v>1</v>
      </c>
      <c r="B1" s="10" t="s">
        <v>12</v>
      </c>
      <c r="C1" s="10" t="s">
        <v>2</v>
      </c>
      <c r="D1" s="10" t="s">
        <v>15</v>
      </c>
      <c r="E1" s="10" t="s">
        <v>0</v>
      </c>
      <c r="F1" s="10" t="s">
        <v>19</v>
      </c>
      <c r="G1" s="10" t="s">
        <v>26</v>
      </c>
      <c r="H1" s="10" t="s">
        <v>24</v>
      </c>
      <c r="I1" s="10" t="s">
        <v>25</v>
      </c>
      <c r="J1" s="10" t="s">
        <v>30</v>
      </c>
      <c r="K1" s="10" t="s">
        <v>35</v>
      </c>
      <c r="L1" s="11" t="s">
        <v>27</v>
      </c>
      <c r="M1" s="11" t="s">
        <v>28</v>
      </c>
    </row>
    <row r="2" spans="1:13" s="1" customFormat="1" x14ac:dyDescent="0.25">
      <c r="A2" s="1" t="s">
        <v>3</v>
      </c>
      <c r="B2" s="1" t="s">
        <v>13</v>
      </c>
      <c r="C2" s="1" t="s">
        <v>4</v>
      </c>
      <c r="D2" s="1" t="s">
        <v>16</v>
      </c>
      <c r="E2" s="1" t="s">
        <v>5</v>
      </c>
      <c r="F2" s="1" t="s">
        <v>20</v>
      </c>
      <c r="G2" s="1" t="s">
        <v>53</v>
      </c>
      <c r="I2" s="9" t="s">
        <v>49</v>
      </c>
      <c r="J2" s="1" t="s">
        <v>31</v>
      </c>
      <c r="K2" s="1" t="s">
        <v>36</v>
      </c>
      <c r="L2" s="7" t="str">
        <f>_xlfn.CONCAT("https://cpq-20312.bigmachines.com/rest/v16/allProductFamilySetups/_allProductFamilies/productFamilies/",B2)</f>
        <v>https://cpq-20312.bigmachines.com/rest/v16/allProductFamilySetups/_allProductFamilies/productFamilies/cars</v>
      </c>
      <c r="M2" s="7" t="str">
        <f>L2 &amp; "/productLines/" &amp; D2 &amp; "/models/" &amp; F2</f>
        <v>https://cpq-20312.bigmachines.com/rest/v16/allProductFamilySetups/_allProductFamilies/productFamilies/cars/productLines/hatchback/models/alto</v>
      </c>
    </row>
    <row r="3" spans="1:13" s="1" customFormat="1" x14ac:dyDescent="0.25">
      <c r="A3" s="1" t="s">
        <v>3</v>
      </c>
      <c r="B3" s="1" t="s">
        <v>13</v>
      </c>
      <c r="C3" s="1" t="s">
        <v>4</v>
      </c>
      <c r="D3" s="1" t="s">
        <v>16</v>
      </c>
      <c r="E3" s="1" t="s">
        <v>6</v>
      </c>
      <c r="F3" s="1" t="s">
        <v>21</v>
      </c>
      <c r="H3" s="1" t="s">
        <v>54</v>
      </c>
      <c r="I3" s="1" t="s">
        <v>50</v>
      </c>
      <c r="J3" s="1" t="s">
        <v>32</v>
      </c>
      <c r="K3" s="1" t="s">
        <v>37</v>
      </c>
      <c r="L3" s="7" t="str">
        <f>_xlfn.CONCAT("https://cpq-20312.bigmachines.com/rest/v16/allProductFamilySetups/_allProductFamilies/productFamilies/",B3)</f>
        <v>https://cpq-20312.bigmachines.com/rest/v16/allProductFamilySetups/_allProductFamilies/productFamilies/cars</v>
      </c>
      <c r="M3" s="7" t="str">
        <f t="shared" ref="M3:M5" si="0">L3 &amp; "/productLines/" &amp; D3 &amp; "/models/" &amp; F3</f>
        <v>https://cpq-20312.bigmachines.com/rest/v16/allProductFamilySetups/_allProductFamilies/productFamilies/cars/productLines/hatchback/models/altroz</v>
      </c>
    </row>
    <row r="4" spans="1:13" s="1" customFormat="1" x14ac:dyDescent="0.25">
      <c r="A4" s="1" t="s">
        <v>3</v>
      </c>
      <c r="B4" s="1" t="s">
        <v>13</v>
      </c>
      <c r="C4" s="1" t="s">
        <v>7</v>
      </c>
      <c r="D4" s="1" t="s">
        <v>17</v>
      </c>
      <c r="E4" s="1" t="s">
        <v>8</v>
      </c>
      <c r="F4" s="1" t="s">
        <v>22</v>
      </c>
      <c r="G4" s="1" t="s">
        <v>56</v>
      </c>
      <c r="H4" s="1" t="s">
        <v>48</v>
      </c>
      <c r="I4" s="1" t="s">
        <v>52</v>
      </c>
      <c r="J4" s="1" t="s">
        <v>33</v>
      </c>
      <c r="K4" s="1" t="s">
        <v>38</v>
      </c>
      <c r="L4" s="7" t="str">
        <f>_xlfn.CONCAT("https://cpq-20312.bigmachines.com/rest/v16/allProductFamilySetups/_allProductFamilies/productFamilies/",B4)</f>
        <v>https://cpq-20312.bigmachines.com/rest/v16/allProductFamilySetups/_allProductFamilies/productFamilies/cars</v>
      </c>
      <c r="M4" s="7" t="str">
        <f t="shared" si="0"/>
        <v>https://cpq-20312.bigmachines.com/rest/v16/allProductFamilySetups/_allProductFamilies/productFamilies/cars/productLines/sedan/models/ciaz</v>
      </c>
    </row>
    <row r="5" spans="1:13" s="1" customFormat="1" x14ac:dyDescent="0.25">
      <c r="A5" s="1" t="s">
        <v>9</v>
      </c>
      <c r="B5" s="1" t="s">
        <v>14</v>
      </c>
      <c r="C5" s="1" t="s">
        <v>10</v>
      </c>
      <c r="D5" s="1" t="s">
        <v>18</v>
      </c>
      <c r="E5" s="1" t="s">
        <v>11</v>
      </c>
      <c r="F5" s="1" t="s">
        <v>23</v>
      </c>
      <c r="H5" s="8" t="s">
        <v>51</v>
      </c>
      <c r="I5" s="1" t="s">
        <v>55</v>
      </c>
      <c r="J5" s="1" t="s">
        <v>34</v>
      </c>
      <c r="K5" s="1" t="s">
        <v>39</v>
      </c>
      <c r="L5" s="7" t="str">
        <f>_xlfn.CONCAT("https://cpq-20312.bigmachines.com/rest/v16/allProductFamilySetups/_allProductFamilies/productFamilies/",B5)</f>
        <v>https://cpq-20312.bigmachines.com/rest/v16/allProductFamilySetups/_allProductFamilies/productFamilies/planes</v>
      </c>
      <c r="M5" s="7" t="str">
        <f t="shared" si="0"/>
        <v>https://cpq-20312.bigmachines.com/rest/v16/allProductFamilySetups/_allProductFamilies/productFamilies/planes/productLines/emirates/models/airbus</v>
      </c>
    </row>
    <row r="6" spans="1:13" x14ac:dyDescent="0.25">
      <c r="L6" s="6"/>
      <c r="M6" s="6"/>
    </row>
    <row r="7" spans="1:13" x14ac:dyDescent="0.25">
      <c r="L7" s="6"/>
      <c r="M7" s="6"/>
    </row>
    <row r="26" spans="7:7" x14ac:dyDescent="0.25">
      <c r="G26" s="5" t="s">
        <v>29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61B2-195D-44E7-BC41-865801FB9124}">
  <dimension ref="A1:O4"/>
  <sheetViews>
    <sheetView tabSelected="1" workbookViewId="0">
      <selection activeCell="D35" sqref="D35"/>
    </sheetView>
  </sheetViews>
  <sheetFormatPr defaultRowHeight="15" x14ac:dyDescent="0.25"/>
  <cols>
    <col min="1" max="1" width="11.42578125" bestFit="1" customWidth="1"/>
    <col min="2" max="2" width="20.85546875" bestFit="1" customWidth="1"/>
    <col min="3" max="3" width="26.85546875" bestFit="1" customWidth="1"/>
    <col min="4" max="4" width="22.7109375" bestFit="1" customWidth="1"/>
    <col min="5" max="5" width="38" bestFit="1" customWidth="1"/>
    <col min="6" max="6" width="10" bestFit="1" customWidth="1"/>
    <col min="7" max="7" width="18.7109375" bestFit="1" customWidth="1"/>
    <col min="8" max="8" width="15" bestFit="1" customWidth="1"/>
    <col min="9" max="9" width="18.28515625" bestFit="1" customWidth="1"/>
    <col min="10" max="10" width="38" bestFit="1" customWidth="1"/>
    <col min="11" max="11" width="6.85546875" bestFit="1" customWidth="1"/>
    <col min="12" max="12" width="16.140625" bestFit="1" customWidth="1"/>
    <col min="13" max="13" width="16.42578125" bestFit="1" customWidth="1"/>
    <col min="14" max="14" width="26.28515625" bestFit="1" customWidth="1"/>
    <col min="15" max="15" width="34.140625" bestFit="1" customWidth="1"/>
  </cols>
  <sheetData>
    <row r="1" spans="1:15" x14ac:dyDescent="0.25">
      <c r="A1" s="10" t="s">
        <v>1</v>
      </c>
      <c r="B1" s="10" t="s">
        <v>12</v>
      </c>
      <c r="C1" s="10" t="s">
        <v>120</v>
      </c>
      <c r="D1" s="10" t="s">
        <v>119</v>
      </c>
      <c r="E1" s="10" t="s">
        <v>121</v>
      </c>
      <c r="F1" s="10" t="s">
        <v>2</v>
      </c>
      <c r="G1" s="10" t="s">
        <v>15</v>
      </c>
      <c r="H1" s="10" t="s">
        <v>122</v>
      </c>
      <c r="I1" s="10" t="s">
        <v>123</v>
      </c>
      <c r="J1" s="10" t="s">
        <v>124</v>
      </c>
      <c r="K1" s="10" t="s">
        <v>0</v>
      </c>
      <c r="L1" s="10" t="s">
        <v>19</v>
      </c>
      <c r="M1" s="10" t="s">
        <v>125</v>
      </c>
      <c r="N1" s="10" t="s">
        <v>126</v>
      </c>
      <c r="O1" s="10" t="s">
        <v>127</v>
      </c>
    </row>
    <row r="2" spans="1:15" x14ac:dyDescent="0.25">
      <c r="A2" s="12" t="s">
        <v>3</v>
      </c>
      <c r="B2" s="12" t="s">
        <v>13</v>
      </c>
      <c r="C2" s="12" t="s">
        <v>118</v>
      </c>
      <c r="D2" s="12" t="s">
        <v>128</v>
      </c>
      <c r="E2" s="12" t="s">
        <v>129</v>
      </c>
      <c r="F2" s="12" t="s">
        <v>4</v>
      </c>
      <c r="G2" s="12" t="s">
        <v>16</v>
      </c>
      <c r="H2" s="12" t="s">
        <v>130</v>
      </c>
      <c r="I2" s="12" t="s">
        <v>131</v>
      </c>
      <c r="J2" s="12"/>
      <c r="K2" s="1" t="s">
        <v>5</v>
      </c>
      <c r="L2" s="1" t="s">
        <v>20</v>
      </c>
      <c r="M2" s="13" t="s">
        <v>132</v>
      </c>
      <c r="N2" s="1" t="s">
        <v>133</v>
      </c>
      <c r="O2" s="1" t="s">
        <v>134</v>
      </c>
    </row>
    <row r="3" spans="1:15" x14ac:dyDescent="0.25">
      <c r="A3" s="12"/>
      <c r="B3" s="12"/>
      <c r="C3" s="12"/>
      <c r="D3" s="12"/>
      <c r="E3" s="12"/>
      <c r="F3" s="12"/>
      <c r="G3" s="12"/>
      <c r="H3" s="12"/>
      <c r="I3" s="12"/>
      <c r="J3" s="12"/>
      <c r="K3" s="1" t="s">
        <v>6</v>
      </c>
      <c r="L3" s="1" t="s">
        <v>21</v>
      </c>
      <c r="M3" s="1" t="s">
        <v>108</v>
      </c>
      <c r="N3" s="1" t="s">
        <v>89</v>
      </c>
      <c r="O3" s="1"/>
    </row>
    <row r="4" spans="1:15" x14ac:dyDescent="0.25">
      <c r="A4" s="12"/>
      <c r="B4" s="12"/>
      <c r="C4" s="12"/>
      <c r="D4" s="12"/>
      <c r="E4" s="12"/>
      <c r="F4" s="1" t="s">
        <v>7</v>
      </c>
      <c r="G4" s="1" t="s">
        <v>17</v>
      </c>
      <c r="H4" s="1" t="s">
        <v>95</v>
      </c>
      <c r="I4" s="1" t="s">
        <v>96</v>
      </c>
      <c r="J4" s="1" t="s">
        <v>97</v>
      </c>
      <c r="K4" s="1" t="s">
        <v>8</v>
      </c>
      <c r="L4" s="1" t="s">
        <v>22</v>
      </c>
      <c r="M4" s="1" t="s">
        <v>110</v>
      </c>
      <c r="N4" s="1" t="s">
        <v>96</v>
      </c>
      <c r="O4" s="1" t="s">
        <v>111</v>
      </c>
    </row>
  </sheetData>
  <mergeCells count="10">
    <mergeCell ref="J2:J3"/>
    <mergeCell ref="E2:E4"/>
    <mergeCell ref="F2:F3"/>
    <mergeCell ref="G2:G3"/>
    <mergeCell ref="H2:H3"/>
    <mergeCell ref="I2:I3"/>
    <mergeCell ref="A2:A4"/>
    <mergeCell ref="B2:B4"/>
    <mergeCell ref="C2:C4"/>
    <mergeCell ref="D2:D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44364-434E-454F-BDEE-31117AAEEA39}">
  <dimension ref="A1:O15"/>
  <sheetViews>
    <sheetView topLeftCell="C1" workbookViewId="0">
      <selection activeCell="J28" sqref="J28"/>
    </sheetView>
  </sheetViews>
  <sheetFormatPr defaultRowHeight="15" x14ac:dyDescent="0.25"/>
  <cols>
    <col min="1" max="1" width="23" bestFit="1" customWidth="1"/>
    <col min="2" max="2" width="34.5703125" bestFit="1" customWidth="1"/>
    <col min="3" max="3" width="14.28515625" bestFit="1" customWidth="1"/>
    <col min="4" max="4" width="12.140625" bestFit="1" customWidth="1"/>
    <col min="5" max="5" width="22.28515625" bestFit="1" customWidth="1"/>
    <col min="6" max="6" width="17" bestFit="1" customWidth="1"/>
    <col min="7" max="7" width="16.28515625" bestFit="1" customWidth="1"/>
    <col min="8" max="8" width="11.140625" bestFit="1" customWidth="1"/>
    <col min="9" max="9" width="9.85546875" bestFit="1" customWidth="1"/>
    <col min="10" max="10" width="18.140625" bestFit="1" customWidth="1"/>
    <col min="11" max="11" width="14" bestFit="1" customWidth="1"/>
    <col min="12" max="12" width="12" bestFit="1" customWidth="1"/>
    <col min="13" max="13" width="19.5703125" bestFit="1" customWidth="1"/>
    <col min="14" max="15" width="38" bestFit="1" customWidth="1"/>
  </cols>
  <sheetData>
    <row r="1" spans="1:15" x14ac:dyDescent="0.25">
      <c r="A1" t="s">
        <v>57</v>
      </c>
    </row>
    <row r="3" spans="1:15" x14ac:dyDescent="0.25">
      <c r="A3" t="s">
        <v>58</v>
      </c>
      <c r="B3" t="s">
        <v>59</v>
      </c>
      <c r="C3" t="s">
        <v>60</v>
      </c>
      <c r="D3" t="s">
        <v>61</v>
      </c>
      <c r="E3" t="s">
        <v>62</v>
      </c>
      <c r="F3" t="s">
        <v>63</v>
      </c>
      <c r="G3" t="s">
        <v>64</v>
      </c>
      <c r="H3" t="s">
        <v>65</v>
      </c>
      <c r="I3" t="s">
        <v>66</v>
      </c>
      <c r="J3" t="s">
        <v>67</v>
      </c>
      <c r="K3" t="s">
        <v>68</v>
      </c>
      <c r="L3" t="s">
        <v>69</v>
      </c>
      <c r="M3" t="s">
        <v>70</v>
      </c>
      <c r="N3" t="s">
        <v>71</v>
      </c>
      <c r="O3" t="s">
        <v>72</v>
      </c>
    </row>
    <row r="4" spans="1:15" x14ac:dyDescent="0.25">
      <c r="A4" t="s">
        <v>73</v>
      </c>
      <c r="B4" t="s">
        <v>74</v>
      </c>
      <c r="C4" t="s">
        <v>75</v>
      </c>
      <c r="D4">
        <v>1</v>
      </c>
      <c r="E4" t="s">
        <v>76</v>
      </c>
      <c r="F4" t="s">
        <v>77</v>
      </c>
      <c r="G4" t="s">
        <v>78</v>
      </c>
      <c r="H4" t="b">
        <v>0</v>
      </c>
      <c r="I4" t="s">
        <v>79</v>
      </c>
      <c r="J4" t="s">
        <v>79</v>
      </c>
      <c r="K4">
        <v>1</v>
      </c>
      <c r="L4" t="s">
        <v>80</v>
      </c>
      <c r="M4" t="s">
        <v>80</v>
      </c>
    </row>
    <row r="5" spans="1:15" x14ac:dyDescent="0.25">
      <c r="A5" t="s">
        <v>73</v>
      </c>
      <c r="B5" t="s">
        <v>74</v>
      </c>
      <c r="C5" t="s">
        <v>75</v>
      </c>
      <c r="D5">
        <v>1</v>
      </c>
      <c r="E5" t="s">
        <v>76</v>
      </c>
      <c r="F5" t="s">
        <v>81</v>
      </c>
      <c r="G5" t="s">
        <v>82</v>
      </c>
      <c r="H5" t="b">
        <v>1</v>
      </c>
      <c r="I5" t="s">
        <v>79</v>
      </c>
      <c r="J5" t="s">
        <v>83</v>
      </c>
      <c r="K5">
        <v>2</v>
      </c>
      <c r="L5" t="s">
        <v>80</v>
      </c>
      <c r="M5" t="s">
        <v>80</v>
      </c>
      <c r="N5" t="s">
        <v>84</v>
      </c>
      <c r="O5" t="s">
        <v>84</v>
      </c>
    </row>
    <row r="6" spans="1:15" x14ac:dyDescent="0.25">
      <c r="A6" t="s">
        <v>73</v>
      </c>
      <c r="B6" t="s">
        <v>85</v>
      </c>
      <c r="C6" t="s">
        <v>86</v>
      </c>
      <c r="D6">
        <v>1</v>
      </c>
      <c r="E6" t="s">
        <v>76</v>
      </c>
      <c r="F6" t="s">
        <v>87</v>
      </c>
      <c r="G6" t="s">
        <v>88</v>
      </c>
      <c r="H6" t="b">
        <v>0</v>
      </c>
      <c r="I6" t="s">
        <v>89</v>
      </c>
      <c r="J6" t="s">
        <v>90</v>
      </c>
      <c r="K6">
        <v>1</v>
      </c>
      <c r="L6" t="s">
        <v>80</v>
      </c>
      <c r="M6" t="s">
        <v>80</v>
      </c>
    </row>
    <row r="7" spans="1:15" x14ac:dyDescent="0.25">
      <c r="A7" t="s">
        <v>73</v>
      </c>
      <c r="B7" t="s">
        <v>85</v>
      </c>
      <c r="C7" t="s">
        <v>86</v>
      </c>
      <c r="D7">
        <v>1</v>
      </c>
      <c r="E7" t="s">
        <v>76</v>
      </c>
      <c r="F7" t="s">
        <v>91</v>
      </c>
      <c r="G7" t="s">
        <v>92</v>
      </c>
      <c r="H7" t="b">
        <v>0</v>
      </c>
      <c r="I7" t="s">
        <v>93</v>
      </c>
      <c r="J7" t="s">
        <v>79</v>
      </c>
      <c r="K7">
        <v>2</v>
      </c>
      <c r="L7" t="s">
        <v>80</v>
      </c>
      <c r="M7" t="s">
        <v>80</v>
      </c>
    </row>
    <row r="8" spans="1:15" x14ac:dyDescent="0.25">
      <c r="A8" t="s">
        <v>73</v>
      </c>
      <c r="B8" t="s">
        <v>94</v>
      </c>
      <c r="C8" t="s">
        <v>86</v>
      </c>
      <c r="D8">
        <v>1</v>
      </c>
      <c r="E8" t="s">
        <v>76</v>
      </c>
      <c r="F8" t="s">
        <v>95</v>
      </c>
      <c r="G8" t="s">
        <v>48</v>
      </c>
      <c r="H8" t="b">
        <v>1</v>
      </c>
      <c r="I8" t="s">
        <v>79</v>
      </c>
      <c r="J8" t="s">
        <v>96</v>
      </c>
      <c r="K8">
        <v>1</v>
      </c>
      <c r="L8" t="s">
        <v>80</v>
      </c>
      <c r="M8" t="s">
        <v>80</v>
      </c>
      <c r="N8" t="s">
        <v>97</v>
      </c>
      <c r="O8" t="s">
        <v>97</v>
      </c>
    </row>
    <row r="9" spans="1:15" x14ac:dyDescent="0.25">
      <c r="A9" t="s">
        <v>73</v>
      </c>
      <c r="B9" t="s">
        <v>98</v>
      </c>
      <c r="C9" t="s">
        <v>86</v>
      </c>
      <c r="D9">
        <v>1</v>
      </c>
      <c r="E9" t="s">
        <v>76</v>
      </c>
      <c r="F9" t="s">
        <v>99</v>
      </c>
      <c r="G9" t="s">
        <v>51</v>
      </c>
      <c r="H9" t="b">
        <v>1</v>
      </c>
      <c r="I9" t="s">
        <v>79</v>
      </c>
      <c r="J9" t="s">
        <v>83</v>
      </c>
      <c r="K9">
        <v>1</v>
      </c>
      <c r="L9" t="s">
        <v>80</v>
      </c>
      <c r="M9" t="s">
        <v>80</v>
      </c>
      <c r="N9" t="s">
        <v>100</v>
      </c>
      <c r="O9" t="s">
        <v>100</v>
      </c>
    </row>
    <row r="10" spans="1:15" x14ac:dyDescent="0.25">
      <c r="A10" t="s">
        <v>73</v>
      </c>
      <c r="B10" t="s">
        <v>101</v>
      </c>
      <c r="C10" t="s">
        <v>0</v>
      </c>
      <c r="D10">
        <v>1</v>
      </c>
      <c r="E10" t="s">
        <v>76</v>
      </c>
      <c r="F10" t="s">
        <v>102</v>
      </c>
      <c r="G10" t="s">
        <v>103</v>
      </c>
      <c r="H10" t="b">
        <v>1</v>
      </c>
      <c r="I10" t="s">
        <v>79</v>
      </c>
      <c r="J10" t="s">
        <v>83</v>
      </c>
      <c r="K10">
        <v>1</v>
      </c>
      <c r="L10" t="s">
        <v>80</v>
      </c>
      <c r="M10" t="s">
        <v>80</v>
      </c>
      <c r="N10" t="s">
        <v>104</v>
      </c>
      <c r="O10" t="s">
        <v>104</v>
      </c>
    </row>
    <row r="11" spans="1:15" x14ac:dyDescent="0.25">
      <c r="A11" t="s">
        <v>73</v>
      </c>
      <c r="B11" t="s">
        <v>101</v>
      </c>
      <c r="C11" t="s">
        <v>0</v>
      </c>
      <c r="D11">
        <v>1</v>
      </c>
      <c r="E11" t="s">
        <v>76</v>
      </c>
      <c r="F11" t="s">
        <v>105</v>
      </c>
      <c r="G11" t="s">
        <v>106</v>
      </c>
      <c r="H11" t="b">
        <v>0</v>
      </c>
      <c r="I11" t="s">
        <v>89</v>
      </c>
      <c r="J11" t="s">
        <v>90</v>
      </c>
      <c r="K11">
        <v>2</v>
      </c>
      <c r="L11" t="s">
        <v>80</v>
      </c>
      <c r="M11" t="s">
        <v>80</v>
      </c>
    </row>
    <row r="12" spans="1:15" x14ac:dyDescent="0.25">
      <c r="A12" t="s">
        <v>73</v>
      </c>
      <c r="B12" t="s">
        <v>107</v>
      </c>
      <c r="C12" t="s">
        <v>0</v>
      </c>
      <c r="D12">
        <v>1</v>
      </c>
      <c r="E12" t="s">
        <v>76</v>
      </c>
      <c r="F12" t="s">
        <v>108</v>
      </c>
      <c r="G12" t="s">
        <v>50</v>
      </c>
      <c r="H12" t="b">
        <v>0</v>
      </c>
      <c r="I12" t="s">
        <v>89</v>
      </c>
      <c r="J12" t="s">
        <v>90</v>
      </c>
      <c r="K12">
        <v>1</v>
      </c>
      <c r="L12" t="s">
        <v>80</v>
      </c>
      <c r="M12" t="s">
        <v>80</v>
      </c>
    </row>
    <row r="13" spans="1:15" x14ac:dyDescent="0.25">
      <c r="A13" t="s">
        <v>73</v>
      </c>
      <c r="B13" t="s">
        <v>109</v>
      </c>
      <c r="C13" t="s">
        <v>0</v>
      </c>
      <c r="D13">
        <v>1</v>
      </c>
      <c r="E13" t="s">
        <v>76</v>
      </c>
      <c r="F13" t="s">
        <v>110</v>
      </c>
      <c r="G13" t="s">
        <v>52</v>
      </c>
      <c r="H13" t="b">
        <v>1</v>
      </c>
      <c r="I13" t="s">
        <v>79</v>
      </c>
      <c r="J13" t="s">
        <v>96</v>
      </c>
      <c r="K13">
        <v>1</v>
      </c>
      <c r="L13" t="s">
        <v>80</v>
      </c>
      <c r="M13" t="s">
        <v>80</v>
      </c>
      <c r="N13" t="s">
        <v>111</v>
      </c>
      <c r="O13" t="s">
        <v>111</v>
      </c>
    </row>
    <row r="14" spans="1:15" x14ac:dyDescent="0.25">
      <c r="A14" t="s">
        <v>73</v>
      </c>
      <c r="B14" t="s">
        <v>112</v>
      </c>
      <c r="C14" t="s">
        <v>0</v>
      </c>
      <c r="D14">
        <v>1</v>
      </c>
      <c r="E14" t="s">
        <v>76</v>
      </c>
      <c r="F14" t="s">
        <v>113</v>
      </c>
      <c r="G14" t="s">
        <v>114</v>
      </c>
      <c r="H14" t="b">
        <v>0</v>
      </c>
      <c r="I14" t="s">
        <v>115</v>
      </c>
      <c r="J14" t="s">
        <v>115</v>
      </c>
      <c r="K14">
        <v>1</v>
      </c>
      <c r="L14" t="s">
        <v>80</v>
      </c>
      <c r="M14" t="s">
        <v>80</v>
      </c>
    </row>
    <row r="15" spans="1:15" x14ac:dyDescent="0.25">
      <c r="A15" t="s">
        <v>73</v>
      </c>
      <c r="B15" t="s">
        <v>112</v>
      </c>
      <c r="C15" t="s">
        <v>0</v>
      </c>
      <c r="D15">
        <v>1</v>
      </c>
      <c r="E15" t="s">
        <v>76</v>
      </c>
      <c r="F15" t="s">
        <v>116</v>
      </c>
      <c r="G15" t="s">
        <v>117</v>
      </c>
      <c r="H15" t="b">
        <v>0</v>
      </c>
      <c r="I15" t="s">
        <v>93</v>
      </c>
      <c r="J15" t="s">
        <v>79</v>
      </c>
      <c r="K15">
        <v>2</v>
      </c>
      <c r="L15" t="s">
        <v>80</v>
      </c>
      <c r="M15"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EA67-1ABD-4679-A94C-A379898DF67D}">
  <dimension ref="A1:B4"/>
  <sheetViews>
    <sheetView workbookViewId="0">
      <selection activeCell="E14" sqref="E14"/>
    </sheetView>
  </sheetViews>
  <sheetFormatPr defaultRowHeight="15" x14ac:dyDescent="0.25"/>
  <cols>
    <col min="2" max="2" width="33.5703125" bestFit="1" customWidth="1"/>
  </cols>
  <sheetData>
    <row r="1" spans="1:2" ht="28.5" x14ac:dyDescent="0.45">
      <c r="A1" s="4" t="s">
        <v>40</v>
      </c>
      <c r="B1" s="4" t="s">
        <v>41</v>
      </c>
    </row>
    <row r="2" spans="1:2" x14ac:dyDescent="0.25">
      <c r="A2" t="s">
        <v>42</v>
      </c>
      <c r="B2" s="2" t="s">
        <v>47</v>
      </c>
    </row>
    <row r="3" spans="1:2" x14ac:dyDescent="0.25">
      <c r="A3" t="s">
        <v>43</v>
      </c>
      <c r="B3" t="s">
        <v>45</v>
      </c>
    </row>
    <row r="4" spans="1:2" ht="180" x14ac:dyDescent="0.25">
      <c r="A4" t="s">
        <v>44</v>
      </c>
      <c r="B4" s="3" t="s">
        <v>46</v>
      </c>
    </row>
  </sheetData>
  <hyperlinks>
    <hyperlink ref="B2" r:id="rId1" xr:uid="{AF049DD5-00AD-4617-A12D-F17A135E55F7}"/>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ConfigData</vt:lpstr>
      <vt:lpstr>Sheet1</vt:lpstr>
      <vt:lpstr>Sheet2</vt:lpstr>
      <vt:lpstr>Email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Devdeep Dasgupta</dc:creator>
  <cp:lastModifiedBy>Devdeep Dasgupta</cp:lastModifiedBy>
  <dcterms:created xsi:type="dcterms:W3CDTF">2024-08-25T09:03:10Z</dcterms:created>
  <dcterms:modified xsi:type="dcterms:W3CDTF">2024-11-16T10:51:36Z</dcterms:modified>
</cp:coreProperties>
</file>